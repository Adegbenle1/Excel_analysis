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51196F13-6AD0-C1B8-E2B4-A1F9AE17003E}"/>
  <workbookPr filterPrivacy="1" codeName="ThisWorkbook" defaultThemeVersion="124226"/>
  <xr:revisionPtr revIDLastSave="0" documentId="13_ncr:1_{EB345063-0AB7-4075-AB1E-01C2860701D3}" xr6:coauthVersionLast="47" xr6:coauthVersionMax="47" xr10:uidLastSave="{00000000-0000-0000-0000-000000000000}"/>
  <bookViews>
    <workbookView xWindow="-108" yWindow="-108" windowWidth="23256" windowHeight="12576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6" i="21" l="1"/>
  <c r="D11" i="21"/>
  <c r="C21" i="21"/>
  <c r="C12" i="21"/>
  <c r="C15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F61" i="1"/>
  <c r="F60" i="10" s="1"/>
  <c r="C32" i="21" s="1"/>
  <c r="C17" i="21" l="1"/>
  <c r="D9" i="2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<sst xmlns="http://schemas.openxmlformats.org/spreadsheetml/2006/main" count="946" uniqueCount="243">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</sst>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 applyAlignment="1"/>
    <xf numFmtId="165" fontId="3" fillId="2" borderId="2" xfId="0" applyNumberFormat="1" applyFont="1" applyFill="1" applyBorder="1" applyAlignment="1"/>
    <xf numFmtId="165" fontId="15" fillId="2" borderId="3" xfId="0" applyNumberFormat="1" applyFont="1" applyFill="1" applyBorder="1" applyAlignment="1"/>
    <xf numFmtId="165" fontId="9" fillId="3" borderId="3" xfId="0" applyNumberFormat="1" applyFont="1" applyFill="1" applyBorder="1" applyAlignment="1"/>
    <xf numFmtId="165" fontId="15" fillId="2" borderId="4" xfId="0" applyNumberFormat="1" applyFont="1" applyFill="1" applyBorder="1" applyAlignment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4-48B5-AAC6-36646C9BB86F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 Other revenues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statement'!$C$5:$E$5</c:f>
              <c:numCache>
                <c:formatCode>_(* #,##0.0_);_(* \(#,##0.0\);_(*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5F-46C6-A6C2-9D6E18B3C0A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08192160"/>
        <c:axId val="408193800"/>
      </c:barChart>
      <c:catAx>
        <c:axId val="408192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EUR</a:t>
                </a:r>
                <a:r>
                  <a:rPr lang="en-GB" baseline="0"/>
                  <a:t> in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93800"/>
        <c:crosses val="autoZero"/>
        <c:auto val="1"/>
        <c:lblAlgn val="ctr"/>
        <c:lblOffset val="100"/>
        <c:noMultiLvlLbl val="0"/>
      </c:catAx>
      <c:valAx>
        <c:axId val="40819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9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2</xdr:row>
      <xdr:rowOff>171450</xdr:rowOff>
    </xdr:from>
    <xdr:to>
      <xdr:col>16</xdr:col>
      <xdr:colOff>542925</xdr:colOff>
      <xdr:row>19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96</v>
      </c>
    </row>
    <row r="2" spans="2:4" ht="12" x14ac:dyDescent="0.25">
      <c r="B2" s="5" t="s">
        <v>58</v>
      </c>
    </row>
    <row r="4" spans="2:4" ht="12.6" thickBot="1" x14ac:dyDescent="0.3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ht="12" x14ac:dyDescent="0.25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ht="12" x14ac:dyDescent="0.25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ht="12" x14ac:dyDescent="0.25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ColWidth="9.109375" defaultRowHeight="14.4" x14ac:dyDescent="0.3"/>
  <cols>
    <col min="1" max="1" width="2" style="2" customWidth="1"/>
    <col min="2" max="2" width="17.33203125" style="1" bestFit="1" customWidth="1"/>
    <col min="3" max="3" width="27.44140625" style="2" bestFit="1" customWidth="1"/>
    <col min="4" max="4" width="29.5546875" style="2" customWidth="1"/>
    <col min="5" max="5" width="28" style="2" customWidth="1"/>
    <col min="6" max="6" width="11.44140625" style="25" customWidth="1"/>
    <col min="7" max="7" width="16.109375" style="2" bestFit="1" customWidth="1"/>
    <col min="8" max="8" width="8.88671875" style="2"/>
    <col min="9" max="16384" width="9.109375" style="2"/>
  </cols>
  <sheetData>
    <row r="1" spans="2:9" ht="15.6" x14ac:dyDescent="0.3">
      <c r="B1" s="2"/>
      <c r="C1" s="3" t="s">
        <v>29</v>
      </c>
      <c r="I1"/>
    </row>
    <row r="2" spans="2:9" x14ac:dyDescent="0.3">
      <c r="B2" s="2"/>
      <c r="H2" s="1"/>
      <c r="I2" s="1"/>
    </row>
    <row r="3" spans="2:9" x14ac:dyDescent="0.3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2">
        <v>-14500341</v>
      </c>
      <c r="G5" s="1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2">
        <v>-4794856.1919999998</v>
      </c>
      <c r="G6" s="1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2">
        <v>-154890.4</v>
      </c>
      <c r="G7" s="1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2">
        <v>-1180894.0520000001</v>
      </c>
      <c r="G8" s="1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2">
        <v>-793079.51199999999</v>
      </c>
      <c r="G9" s="1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2">
        <v>4428911.7640000004</v>
      </c>
      <c r="G11" s="1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2">
        <v>16977.628000000001</v>
      </c>
      <c r="G12" s="1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2">
        <v>2245437.54</v>
      </c>
      <c r="G13" s="1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2">
        <v>16605.634000000002</v>
      </c>
      <c r="G14" s="1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2">
        <v>4683394.0460000001</v>
      </c>
      <c r="G15" s="1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2">
        <v>239379.61800000002</v>
      </c>
      <c r="G17" s="1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2">
        <v>-2156147.4</v>
      </c>
      <c r="G21" s="1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2">
        <v>-291428.55199999997</v>
      </c>
      <c r="G22" s="1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2">
        <v>0</v>
      </c>
      <c r="G23" s="1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2">
        <v>-33736.5</v>
      </c>
      <c r="G24" s="1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2">
        <v>0</v>
      </c>
      <c r="G25" s="1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2">
        <v>0</v>
      </c>
      <c r="G26" s="1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2">
        <v>0</v>
      </c>
      <c r="G27" s="1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2">
        <v>-199600.4</v>
      </c>
      <c r="G28" s="1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2">
        <v>-539141.4</v>
      </c>
      <c r="G29" s="1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2">
        <v>-57.221999999999994</v>
      </c>
      <c r="G30" s="1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2">
        <v>22314.879999999997</v>
      </c>
      <c r="G31" s="1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2">
        <v>204000</v>
      </c>
      <c r="G32" s="1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2">
        <v>138.41399999999999</v>
      </c>
      <c r="G33" s="1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2">
        <v>1127445.872</v>
      </c>
      <c r="G34" s="1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2">
        <v>133722</v>
      </c>
      <c r="G35" s="1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2">
        <v>328061.886</v>
      </c>
      <c r="G36" s="1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2">
        <v>2081304.3219999997</v>
      </c>
      <c r="G37" s="1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2">
        <v>33410.031999999999</v>
      </c>
      <c r="G38" s="1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2">
        <v>213090.85199999998</v>
      </c>
      <c r="G39" s="1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2">
        <v>1813525.004</v>
      </c>
      <c r="G40" s="1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2">
        <v>5552.2</v>
      </c>
      <c r="G41" s="1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2">
        <v>43868.975999999995</v>
      </c>
      <c r="G42" s="1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2">
        <v>20400</v>
      </c>
      <c r="G44" s="1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2">
        <v>0</v>
      </c>
      <c r="G45" s="1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2">
        <v>563918.152</v>
      </c>
      <c r="G46" s="1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2">
        <v>0</v>
      </c>
      <c r="G47" s="1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2">
        <v>0</v>
      </c>
      <c r="G48" s="1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2">
        <v>0</v>
      </c>
      <c r="G49" s="1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2">
        <v>0</v>
      </c>
      <c r="G50" s="1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2">
        <v>0</v>
      </c>
      <c r="G51" s="1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2">
        <v>0</v>
      </c>
      <c r="G52" s="1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2">
        <v>-35810.228000000003</v>
      </c>
      <c r="G53" s="1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2">
        <v>-51927.417999999998</v>
      </c>
      <c r="G54" s="1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2">
        <v>2930430.0120000001</v>
      </c>
      <c r="G57" s="1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157</v>
      </c>
      <c r="C61" s="20" t="s">
        <v>64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1.4" x14ac:dyDescent="0.2">
      <c r="B62" s="2" t="s">
        <v>101</v>
      </c>
    </row>
    <row r="1048568" spans="2:9" x14ac:dyDescent="0.3">
      <c r="B1048568" s="2"/>
      <c r="I1048568" s="1"/>
    </row>
    <row r="1048569" spans="2:9" x14ac:dyDescent="0.3">
      <c r="B1048569" s="2"/>
      <c r="I1048569" s="1"/>
    </row>
    <row r="1048570" spans="2:9" x14ac:dyDescent="0.3">
      <c r="B1048570" s="2"/>
      <c r="I1048570" s="1"/>
    </row>
    <row r="1048571" spans="2:9" x14ac:dyDescent="0.3">
      <c r="B1048571" s="2"/>
      <c r="I1048571" s="1"/>
    </row>
    <row r="1048572" spans="2:9" x14ac:dyDescent="0.3">
      <c r="B1048572" s="2"/>
      <c r="I1048572" s="1"/>
    </row>
    <row r="1048573" spans="2:9" x14ac:dyDescent="0.3">
      <c r="B1048573" s="2"/>
      <c r="I1048573" s="1"/>
    </row>
    <row r="1048574" spans="2:9" x14ac:dyDescent="0.3">
      <c r="B1048574" s="2"/>
      <c r="I1048574" s="1"/>
    </row>
    <row r="1048575" spans="2:9" x14ac:dyDescent="0.3">
      <c r="B1048575" s="2"/>
      <c r="I1048575" s="1"/>
    </row>
    <row r="1048576" spans="2:9" x14ac:dyDescent="0.3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7.33203125" style="2" customWidth="1"/>
    <col min="5" max="5" width="21.109375" style="2" bestFit="1" customWidth="1"/>
    <col min="6" max="6" width="17.109375" style="2" customWidth="1"/>
    <col min="7" max="7" width="15.5546875" style="2" customWidth="1"/>
    <col min="8" max="8" width="17.33203125" style="2" bestFit="1" customWidth="1"/>
    <col min="9" max="16384" width="9.109375" style="2"/>
  </cols>
  <sheetData>
    <row r="1" spans="2:7" ht="15.6" x14ac:dyDescent="0.3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2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2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2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2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2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2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2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2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2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2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2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2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2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2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2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2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2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2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2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2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2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2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2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2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2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2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2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2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2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2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2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2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2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2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2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2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2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2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2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2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2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2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2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2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2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2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2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2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2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2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2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2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2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2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2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2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2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2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2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2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2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2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2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2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190</v>
      </c>
      <c r="C86" s="20" t="s">
        <v>64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0.5546875" style="2" customWidth="1"/>
    <col min="5" max="5" width="21.109375" style="2" bestFit="1" customWidth="1"/>
    <col min="6" max="6" width="19.33203125" style="2" customWidth="1"/>
    <col min="7" max="7" width="13.109375" style="2" bestFit="1" customWidth="1"/>
    <col min="8" max="8" width="12" style="2" bestFit="1" customWidth="1"/>
    <col min="9" max="9" width="17.33203125" style="2" bestFit="1" customWidth="1"/>
    <col min="10" max="16384" width="9.109375" style="2"/>
  </cols>
  <sheetData>
    <row r="1" spans="2:7" ht="15.6" x14ac:dyDescent="0.3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6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8">
        <v>-14431341</v>
      </c>
      <c r="G6" s="1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2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2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2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2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2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2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2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2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2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2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2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2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2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2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2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2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2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2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2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2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2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2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2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2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2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2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2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2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2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2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2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2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2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2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2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2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2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2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2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2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2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2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2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2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2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2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2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2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2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2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2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2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2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2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2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2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190</v>
      </c>
      <c r="C78" s="20" t="s">
        <v>64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ColWidth="9.109375" defaultRowHeight="11.4" x14ac:dyDescent="0.2"/>
  <cols>
    <col min="1" max="1" width="2" style="2" customWidth="1"/>
    <col min="2" max="2" width="17.33203125" style="2" bestFit="1" customWidth="1"/>
    <col min="3" max="3" width="23.44140625" style="2" customWidth="1"/>
    <col min="4" max="4" width="16" style="2" customWidth="1"/>
    <col min="5" max="5" width="22.88671875" style="2" customWidth="1"/>
    <col min="6" max="6" width="12.109375" style="2" customWidth="1"/>
    <col min="7" max="7" width="10.88671875" style="2" customWidth="1"/>
    <col min="8" max="8" width="10.6640625" style="2" customWidth="1"/>
    <col min="9" max="9" width="2" style="2" customWidth="1"/>
    <col min="10" max="10" width="22.88671875" style="2" bestFit="1" customWidth="1"/>
    <col min="11" max="11" width="9.109375" style="2"/>
    <col min="12" max="12" width="17.33203125" style="2" bestFit="1" customWidth="1"/>
    <col min="13" max="16384" width="9.109375" style="2"/>
  </cols>
  <sheetData>
    <row r="1" spans="2:11" ht="15.6" x14ac:dyDescent="0.3">
      <c r="B1" s="3" t="s">
        <v>94</v>
      </c>
    </row>
    <row r="3" spans="2:11" ht="12.6" thickBot="1" x14ac:dyDescent="0.3">
      <c r="B3" s="15" t="s">
        <v>100</v>
      </c>
      <c r="C3" s="27" t="s">
        <v>205</v>
      </c>
      <c r="D3" s="27" t="s">
        <v>31</v>
      </c>
      <c r="E3" s="27" t="s">
        <v>206</v>
      </c>
      <c r="F3" s="16" t="s">
        <v>207</v>
      </c>
      <c r="G3" s="16" t="s">
        <v>208</v>
      </c>
      <c r="H3" s="16" t="s">
        <v>209</v>
      </c>
      <c r="J3" s="16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7">
        <f>-SUMIF('1.1 FY2011'!$B:$B,'2.1 Database'!B4,'1.1 FY2011'!$F:$F)</f>
        <v>14500341</v>
      </c>
      <c r="G4" s="17">
        <f>-SUMIF('1.2 FY2012'!$B:$B,'2.1 Database'!B4,'1.2 FY2012'!$F:$F)</f>
        <v>15792898.75</v>
      </c>
      <c r="H4" s="17">
        <f>-SUMIF('1.3 FY2013'!$B:$B,'2.1 Database'!B4,'1.3 FY2013'!$F:$F)</f>
        <v>14431341</v>
      </c>
      <c r="J4" s="35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7">
        <f>-SUMIF('1.1 FY2011'!$B:$B,'2.1 Database'!B5,'1.1 FY2011'!$F:$F)</f>
        <v>4794856.1919999998</v>
      </c>
      <c r="G5" s="17">
        <f>-SUMIF('1.2 FY2012'!$B:$B,'2.1 Database'!B5,'1.2 FY2012'!$F:$F)</f>
        <v>6960217.6449999996</v>
      </c>
      <c r="H5" s="17">
        <f>-SUMIF('1.3 FY2013'!$B:$B,'2.1 Database'!B5,'1.3 FY2013'!$F:$F)</f>
        <v>6373617.5140000004</v>
      </c>
      <c r="J5" s="35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7">
        <f>-SUMIF('1.1 FY2011'!$B:$B,'2.1 Database'!B6,'1.1 FY2011'!$F:$F)</f>
        <v>154890.4</v>
      </c>
      <c r="G6" s="17">
        <f>-SUMIF('1.2 FY2012'!$B:$B,'2.1 Database'!B6,'1.2 FY2012'!$F:$F)</f>
        <v>0</v>
      </c>
      <c r="H6" s="17">
        <f>-SUMIF('1.3 FY2013'!$B:$B,'2.1 Database'!B6,'1.3 FY2013'!$F:$F)</f>
        <v>0</v>
      </c>
      <c r="J6" s="35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7">
        <f>-SUMIF('1.1 FY2011'!$B:$B,'2.1 Database'!B7,'1.1 FY2011'!$F:$F)</f>
        <v>1180894.0520000001</v>
      </c>
      <c r="G7" s="17">
        <f>-SUMIF('1.2 FY2012'!$B:$B,'2.1 Database'!B7,'1.2 FY2012'!$F:$F)</f>
        <v>89234.880000000005</v>
      </c>
      <c r="H7" s="17">
        <f>-SUMIF('1.3 FY2013'!$B:$B,'2.1 Database'!B7,'1.3 FY2013'!$F:$F)</f>
        <v>0</v>
      </c>
      <c r="J7" s="35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7">
        <f>-SUMIF('1.1 FY2011'!$B:$B,'2.1 Database'!B8,'1.1 FY2011'!$F:$F)</f>
        <v>793079.51199999999</v>
      </c>
      <c r="G8" s="17">
        <f>-SUMIF('1.2 FY2012'!$B:$B,'2.1 Database'!B8,'1.2 FY2012'!$F:$F)</f>
        <v>26173</v>
      </c>
      <c r="H8" s="17">
        <f>-SUMIF('1.3 FY2013'!$B:$B,'2.1 Database'!B8,'1.3 FY2013'!$F:$F)</f>
        <v>0</v>
      </c>
      <c r="J8" s="35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7">
        <f>-SUMIF('1.1 FY2011'!$B:$B,'2.1 Database'!B9,'1.1 FY2011'!$F:$F)</f>
        <v>2277197.6</v>
      </c>
      <c r="G9" s="17">
        <f>-SUMIF('1.2 FY2012'!$B:$B,'2.1 Database'!B9,'1.2 FY2012'!$F:$F)</f>
        <v>209401.92</v>
      </c>
      <c r="H9" s="17">
        <f>-SUMIF('1.3 FY2013'!$B:$B,'2.1 Database'!B9,'1.3 FY2013'!$F:$F)</f>
        <v>0</v>
      </c>
      <c r="J9" s="35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7">
        <f>-SUMIF('1.1 FY2011'!$B:$B,'2.1 Database'!B10,'1.1 FY2011'!$F:$F)</f>
        <v>-4428911.7640000004</v>
      </c>
      <c r="G10" s="17">
        <f>-SUMIF('1.2 FY2012'!$B:$B,'2.1 Database'!B10,'1.2 FY2012'!$F:$F)</f>
        <v>-5463188.8250000002</v>
      </c>
      <c r="H10" s="17">
        <f>-SUMIF('1.3 FY2013'!$B:$B,'2.1 Database'!B10,'1.3 FY2013'!$F:$F)</f>
        <v>-5674152.0669999998</v>
      </c>
      <c r="J10" s="35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7">
        <f>-SUMIF('1.1 FY2011'!$B:$B,'2.1 Database'!B11,'1.1 FY2011'!$F:$F)</f>
        <v>-16977.628000000001</v>
      </c>
      <c r="G11" s="17">
        <f>-SUMIF('1.2 FY2012'!$B:$B,'2.1 Database'!B11,'1.2 FY2012'!$F:$F)</f>
        <v>-343675</v>
      </c>
      <c r="H11" s="17">
        <f>-SUMIF('1.3 FY2013'!$B:$B,'2.1 Database'!B11,'1.3 FY2013'!$F:$F)</f>
        <v>-350370.99399999995</v>
      </c>
      <c r="J11" s="35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7">
        <f>-SUMIF('1.1 FY2011'!$B:$B,'2.1 Database'!B12,'1.1 FY2011'!$F:$F)</f>
        <v>-2245437.54</v>
      </c>
      <c r="G12" s="17">
        <f>-SUMIF('1.2 FY2012'!$B:$B,'2.1 Database'!B12,'1.2 FY2012'!$F:$F)</f>
        <v>-1980162.23</v>
      </c>
      <c r="H12" s="17">
        <f>-SUMIF('1.3 FY2013'!$B:$B,'2.1 Database'!B12,'1.3 FY2013'!$F:$F)</f>
        <v>-3116017.1540000001</v>
      </c>
      <c r="J12" s="35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7">
        <f>-SUMIF('1.1 FY2011'!$B:$B,'2.1 Database'!B13,'1.1 FY2011'!$F:$F)</f>
        <v>-16605.634000000002</v>
      </c>
      <c r="G13" s="17">
        <f>-SUMIF('1.2 FY2012'!$B:$B,'2.1 Database'!B13,'1.2 FY2012'!$F:$F)</f>
        <v>-27148.625</v>
      </c>
      <c r="H13" s="17">
        <f>-SUMIF('1.3 FY2013'!$B:$B,'2.1 Database'!B13,'1.3 FY2013'!$F:$F)</f>
        <v>-9783.7069999999985</v>
      </c>
      <c r="J13" s="35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7">
        <f>-SUMIF('1.1 FY2011'!$B:$B,'2.1 Database'!B14,'1.1 FY2011'!$F:$F)</f>
        <v>-4683394.0460000001</v>
      </c>
      <c r="G14" s="17">
        <f>-SUMIF('1.2 FY2012'!$B:$B,'2.1 Database'!B14,'1.2 FY2012'!$F:$F)</f>
        <v>-5507141.0549999997</v>
      </c>
      <c r="H14" s="17">
        <f>-SUMIF('1.3 FY2013'!$B:$B,'2.1 Database'!B14,'1.3 FY2013'!$F:$F)</f>
        <v>-3982699.5329999998</v>
      </c>
      <c r="J14" s="35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7">
        <f>-SUMIF('1.1 FY2011'!$B:$B,'2.1 Database'!B15,'1.1 FY2011'!$F:$F)</f>
        <v>-1143051.5760000001</v>
      </c>
      <c r="G15" s="17">
        <f>-SUMIF('1.2 FY2012'!$B:$B,'2.1 Database'!B15,'1.2 FY2012'!$F:$F)</f>
        <v>-2057298.04</v>
      </c>
      <c r="H15" s="17">
        <f>-SUMIF('1.3 FY2013'!$B:$B,'2.1 Database'!B15,'1.3 FY2013'!$F:$F)</f>
        <v>-1709688.6429999997</v>
      </c>
      <c r="J15" s="35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7">
        <f>-SUMIF('1.1 FY2011'!$B:$B,'2.1 Database'!B16,'1.1 FY2011'!$F:$F)</f>
        <v>-239379.61800000002</v>
      </c>
      <c r="G16" s="17">
        <f>-SUMIF('1.2 FY2012'!$B:$B,'2.1 Database'!B16,'1.2 FY2012'!$F:$F)</f>
        <v>0</v>
      </c>
      <c r="H16" s="17">
        <f>-SUMIF('1.3 FY2013'!$B:$B,'2.1 Database'!B16,'1.3 FY2013'!$F:$F)</f>
        <v>0</v>
      </c>
      <c r="J16" s="35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7">
        <f>-SUMIF('1.1 FY2011'!$B:$B,'2.1 Database'!B17,'1.1 FY2011'!$F:$F)</f>
        <v>-104913.8</v>
      </c>
      <c r="G17" s="17">
        <f>-SUMIF('1.2 FY2012'!$B:$B,'2.1 Database'!B17,'1.2 FY2012'!$F:$F)</f>
        <v>-500500</v>
      </c>
      <c r="H17" s="17">
        <f>-SUMIF('1.3 FY2013'!$B:$B,'2.1 Database'!B17,'1.3 FY2013'!$F:$F)</f>
        <v>-143500</v>
      </c>
      <c r="J17" s="35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7">
        <f>-SUMIF('1.1 FY2011'!$B:$B,'2.1 Database'!B18,'1.1 FY2011'!$F:$F)</f>
        <v>-2003262.2180000001</v>
      </c>
      <c r="G18" s="17">
        <f>-SUMIF('1.2 FY2012'!$B:$B,'2.1 Database'!B18,'1.2 FY2012'!$F:$F)</f>
        <v>-1897676.87</v>
      </c>
      <c r="H18" s="17">
        <f>-SUMIF('1.3 FY2013'!$B:$B,'2.1 Database'!B18,'1.3 FY2013'!$F:$F)</f>
        <v>-1875768.159</v>
      </c>
      <c r="J18" s="35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7">
        <f>-SUMIF('1.1 FY2011'!$B:$B,'2.1 Database'!B19,'1.1 FY2011'!$F:$F)</f>
        <v>-41981.296000000002</v>
      </c>
      <c r="G19" s="17">
        <f>-SUMIF('1.2 FY2012'!$B:$B,'2.1 Database'!B19,'1.2 FY2012'!$F:$F)</f>
        <v>-146328.94499999998</v>
      </c>
      <c r="H19" s="17">
        <f>-SUMIF('1.3 FY2013'!$B:$B,'2.1 Database'!B19,'1.3 FY2013'!$F:$F)</f>
        <v>-12593.355</v>
      </c>
      <c r="J19" s="35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7">
        <f>-SUMIF('1.1 FY2011'!$B:$B,'2.1 Database'!B20,'1.1 FY2011'!$F:$F)</f>
        <v>2156147.4</v>
      </c>
      <c r="G20" s="17">
        <f>-SUMIF('1.2 FY2012'!$B:$B,'2.1 Database'!B20,'1.2 FY2012'!$F:$F)</f>
        <v>1643711.145</v>
      </c>
      <c r="H20" s="17">
        <f>-SUMIF('1.3 FY2013'!$B:$B,'2.1 Database'!B20,'1.3 FY2013'!$F:$F)</f>
        <v>1418521.358</v>
      </c>
      <c r="J20" s="35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7">
        <f>-SUMIF('1.1 FY2011'!$B:$B,'2.1 Database'!B21,'1.1 FY2011'!$F:$F)</f>
        <v>291428.55199999997</v>
      </c>
      <c r="G21" s="17">
        <f>-SUMIF('1.2 FY2012'!$B:$B,'2.1 Database'!B21,'1.2 FY2012'!$F:$F)</f>
        <v>0</v>
      </c>
      <c r="H21" s="17">
        <f>-SUMIF('1.3 FY2013'!$B:$B,'2.1 Database'!B21,'1.3 FY2013'!$F:$F)</f>
        <v>0</v>
      </c>
      <c r="J21" s="35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7">
        <f>-SUMIF('1.1 FY2011'!$B:$B,'2.1 Database'!B22,'1.1 FY2011'!$F:$F)</f>
        <v>0</v>
      </c>
      <c r="G22" s="17">
        <f>-SUMIF('1.2 FY2012'!$B:$B,'2.1 Database'!B22,'1.2 FY2012'!$F:$F)</f>
        <v>0</v>
      </c>
      <c r="H22" s="17">
        <f>-SUMIF('1.3 FY2013'!$B:$B,'2.1 Database'!B22,'1.3 FY2013'!$F:$F)</f>
        <v>0</v>
      </c>
      <c r="J22" s="35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7">
        <f>-SUMIF('1.1 FY2011'!$B:$B,'2.1 Database'!B23,'1.1 FY2011'!$F:$F)</f>
        <v>33736.5</v>
      </c>
      <c r="G23" s="17">
        <f>-SUMIF('1.2 FY2012'!$B:$B,'2.1 Database'!B23,'1.2 FY2012'!$F:$F)</f>
        <v>0</v>
      </c>
      <c r="H23" s="17">
        <f>-SUMIF('1.3 FY2013'!$B:$B,'2.1 Database'!B23,'1.3 FY2013'!$F:$F)</f>
        <v>0</v>
      </c>
      <c r="J23" s="35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7">
        <f>-SUMIF('1.1 FY2011'!$B:$B,'2.1 Database'!B24,'1.1 FY2011'!$F:$F)</f>
        <v>0</v>
      </c>
      <c r="G24" s="17">
        <f>-SUMIF('1.2 FY2012'!$B:$B,'2.1 Database'!B24,'1.2 FY2012'!$F:$F)</f>
        <v>0</v>
      </c>
      <c r="H24" s="17">
        <f>-SUMIF('1.3 FY2013'!$B:$B,'2.1 Database'!B24,'1.3 FY2013'!$F:$F)</f>
        <v>0</v>
      </c>
      <c r="J24" s="35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7">
        <f>-SUMIF('1.1 FY2011'!$B:$B,'2.1 Database'!B25,'1.1 FY2011'!$F:$F)</f>
        <v>0</v>
      </c>
      <c r="G25" s="17">
        <f>-SUMIF('1.2 FY2012'!$B:$B,'2.1 Database'!B25,'1.2 FY2012'!$F:$F)</f>
        <v>0</v>
      </c>
      <c r="H25" s="17">
        <f>-SUMIF('1.3 FY2013'!$B:$B,'2.1 Database'!B25,'1.3 FY2013'!$F:$F)</f>
        <v>0</v>
      </c>
      <c r="J25" s="35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7">
        <f>-SUMIF('1.1 FY2011'!$B:$B,'2.1 Database'!B26,'1.1 FY2011'!$F:$F)</f>
        <v>0</v>
      </c>
      <c r="G26" s="17">
        <f>-SUMIF('1.2 FY2012'!$B:$B,'2.1 Database'!B26,'1.2 FY2012'!$F:$F)</f>
        <v>0</v>
      </c>
      <c r="H26" s="17">
        <f>-SUMIF('1.3 FY2013'!$B:$B,'2.1 Database'!B26,'1.3 FY2013'!$F:$F)</f>
        <v>0</v>
      </c>
      <c r="J26" s="35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7">
        <f>-SUMIF('1.1 FY2011'!$B:$B,'2.1 Database'!B27,'1.1 FY2011'!$F:$F)</f>
        <v>199600.4</v>
      </c>
      <c r="G27" s="17">
        <f>-SUMIF('1.2 FY2012'!$B:$B,'2.1 Database'!B27,'1.2 FY2012'!$F:$F)</f>
        <v>10461.36</v>
      </c>
      <c r="H27" s="17">
        <f>-SUMIF('1.3 FY2013'!$B:$B,'2.1 Database'!B27,'1.3 FY2013'!$F:$F)</f>
        <v>0</v>
      </c>
      <c r="J27" s="35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7">
        <f>-SUMIF('1.1 FY2011'!$B:$B,'2.1 Database'!B28,'1.1 FY2011'!$F:$F)</f>
        <v>539141.4</v>
      </c>
      <c r="G28" s="17">
        <f>-SUMIF('1.2 FY2012'!$B:$B,'2.1 Database'!B28,'1.2 FY2012'!$F:$F)</f>
        <v>6785.94</v>
      </c>
      <c r="H28" s="17">
        <f>-SUMIF('1.3 FY2013'!$B:$B,'2.1 Database'!B28,'1.3 FY2013'!$F:$F)</f>
        <v>902857.84299999999</v>
      </c>
      <c r="J28" s="42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7">
        <f>-SUMIF('1.1 FY2011'!$B:$B,'2.1 Database'!B29,'1.1 FY2011'!$F:$F)</f>
        <v>57.221999999999994</v>
      </c>
      <c r="G29" s="17">
        <f>-SUMIF('1.2 FY2012'!$B:$B,'2.1 Database'!B29,'1.2 FY2012'!$F:$F)</f>
        <v>-9793.84</v>
      </c>
      <c r="H29" s="17">
        <f>-SUMIF('1.3 FY2013'!$B:$B,'2.1 Database'!B29,'1.3 FY2013'!$F:$F)</f>
        <v>15872.001999999999</v>
      </c>
      <c r="J29" s="35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7">
        <f>-SUMIF('1.1 FY2011'!$B:$B,'2.1 Database'!B30,'1.1 FY2011'!$F:$F)</f>
        <v>-22314.879999999997</v>
      </c>
      <c r="G30" s="17">
        <f>-SUMIF('1.2 FY2012'!$B:$B,'2.1 Database'!B30,'1.2 FY2012'!$F:$F)</f>
        <v>-65947.7</v>
      </c>
      <c r="H30" s="17">
        <f>-SUMIF('1.3 FY2013'!$B:$B,'2.1 Database'!B30,'1.3 FY2013'!$F:$F)</f>
        <v>-57.317999999999998</v>
      </c>
      <c r="J30" s="35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7">
        <f>-SUMIF('1.1 FY2011'!$B:$B,'2.1 Database'!B31,'1.1 FY2011'!$F:$F)</f>
        <v>-204000</v>
      </c>
      <c r="G31" s="17">
        <f>-SUMIF('1.2 FY2012'!$B:$B,'2.1 Database'!B31,'1.2 FY2012'!$F:$F)</f>
        <v>0</v>
      </c>
      <c r="H31" s="17">
        <f>-SUMIF('1.3 FY2013'!$B:$B,'2.1 Database'!B31,'1.3 FY2013'!$F:$F)</f>
        <v>0</v>
      </c>
      <c r="J31" s="35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7">
        <f>-SUMIF('1.1 FY2011'!$B:$B,'2.1 Database'!B32,'1.1 FY2011'!$F:$F)</f>
        <v>-138.41399999999999</v>
      </c>
      <c r="G32" s="17">
        <f>-SUMIF('1.2 FY2012'!$B:$B,'2.1 Database'!B32,'1.2 FY2012'!$F:$F)</f>
        <v>-5138.91</v>
      </c>
      <c r="H32" s="17">
        <f>-SUMIF('1.3 FY2013'!$B:$B,'2.1 Database'!B32,'1.3 FY2013'!$F:$F)</f>
        <v>-19198.66</v>
      </c>
      <c r="J32" s="35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7">
        <f>-SUMIF('1.1 FY2011'!$B:$B,'2.1 Database'!B33,'1.1 FY2011'!$F:$F)</f>
        <v>-1127445.872</v>
      </c>
      <c r="G33" s="17">
        <f>-SUMIF('1.2 FY2012'!$B:$B,'2.1 Database'!B33,'1.2 FY2012'!$F:$F)</f>
        <v>-1055381.4750000001</v>
      </c>
      <c r="H33" s="17">
        <f>-SUMIF('1.3 FY2013'!$B:$B,'2.1 Database'!B33,'1.3 FY2013'!$F:$F)</f>
        <v>172933.44899999999</v>
      </c>
      <c r="J33" s="35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7">
        <f>-SUMIF('1.1 FY2011'!$B:$B,'2.1 Database'!B34,'1.1 FY2011'!$F:$F)</f>
        <v>-133722</v>
      </c>
      <c r="G34" s="17">
        <f>-SUMIF('1.2 FY2012'!$B:$B,'2.1 Database'!B34,'1.2 FY2012'!$F:$F)</f>
        <v>0</v>
      </c>
      <c r="H34" s="17">
        <f>-SUMIF('1.3 FY2013'!$B:$B,'2.1 Database'!B34,'1.3 FY2013'!$F:$F)</f>
        <v>0</v>
      </c>
      <c r="J34" s="35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7">
        <f>-SUMIF('1.1 FY2011'!$B:$B,'2.1 Database'!B35,'1.1 FY2011'!$F:$F)</f>
        <v>-328061.886</v>
      </c>
      <c r="G35" s="17">
        <f>-SUMIF('1.2 FY2012'!$B:$B,'2.1 Database'!B35,'1.2 FY2012'!$F:$F)</f>
        <v>-430845.34499999997</v>
      </c>
      <c r="H35" s="17">
        <f>-SUMIF('1.3 FY2013'!$B:$B,'2.1 Database'!B35,'1.3 FY2013'!$F:$F)</f>
        <v>0</v>
      </c>
      <c r="J35" s="35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7">
        <f>-SUMIF('1.1 FY2011'!$B:$B,'2.1 Database'!B36,'1.1 FY2011'!$F:$F)</f>
        <v>-2081304.3219999997</v>
      </c>
      <c r="G36" s="17">
        <f>-SUMIF('1.2 FY2012'!$B:$B,'2.1 Database'!B36,'1.2 FY2012'!$F:$F)</f>
        <v>-1130021</v>
      </c>
      <c r="H36" s="17">
        <f>-SUMIF('1.3 FY2013'!$B:$B,'2.1 Database'!B36,'1.3 FY2013'!$F:$F)</f>
        <v>-1481408.47</v>
      </c>
      <c r="J36" s="35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7">
        <f>-SUMIF('1.1 FY2011'!$B:$B,'2.1 Database'!B37,'1.1 FY2011'!$F:$F)</f>
        <v>-33410.031999999999</v>
      </c>
      <c r="G37" s="17">
        <f>-SUMIF('1.2 FY2012'!$B:$B,'2.1 Database'!B37,'1.2 FY2012'!$F:$F)</f>
        <v>-7293.5450000000001</v>
      </c>
      <c r="H37" s="17">
        <f>-SUMIF('1.3 FY2013'!$B:$B,'2.1 Database'!B37,'1.3 FY2013'!$F:$F)</f>
        <v>-40048.799999999996</v>
      </c>
      <c r="J37" s="35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7">
        <f>-SUMIF('1.1 FY2011'!$B:$B,'2.1 Database'!B38,'1.1 FY2011'!$F:$F)</f>
        <v>-213090.85199999998</v>
      </c>
      <c r="G38" s="17">
        <f>-SUMIF('1.2 FY2012'!$B:$B,'2.1 Database'!B38,'1.2 FY2012'!$F:$F)</f>
        <v>-48468.665000000001</v>
      </c>
      <c r="H38" s="17">
        <f>-SUMIF('1.3 FY2013'!$B:$B,'2.1 Database'!B38,'1.3 FY2013'!$F:$F)</f>
        <v>-64039.82699999999</v>
      </c>
      <c r="J38" s="35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7">
        <f>-SUMIF('1.1 FY2011'!$B:$B,'2.1 Database'!B39,'1.1 FY2011'!$F:$F)</f>
        <v>-1813525.004</v>
      </c>
      <c r="G39" s="17">
        <f>-SUMIF('1.2 FY2012'!$B:$B,'2.1 Database'!B39,'1.2 FY2012'!$F:$F)</f>
        <v>-2393259.19</v>
      </c>
      <c r="H39" s="17">
        <f>-SUMIF('1.3 FY2013'!$B:$B,'2.1 Database'!B39,'1.3 FY2013'!$F:$F)</f>
        <v>-2514431.8869999996</v>
      </c>
      <c r="J39" s="35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7">
        <f>-SUMIF('1.1 FY2011'!$B:$B,'2.1 Database'!B40,'1.1 FY2011'!$F:$F)</f>
        <v>-5552.2</v>
      </c>
      <c r="G40" s="17">
        <f>-SUMIF('1.2 FY2012'!$B:$B,'2.1 Database'!B40,'1.2 FY2012'!$F:$F)</f>
        <v>-23069.654999999999</v>
      </c>
      <c r="H40" s="17">
        <f>-SUMIF('1.3 FY2013'!$B:$B,'2.1 Database'!B40,'1.3 FY2013'!$F:$F)</f>
        <v>-4194.2999999999993</v>
      </c>
      <c r="J40" s="35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7">
        <f>-SUMIF('1.1 FY2011'!$B:$B,'2.1 Database'!B41,'1.1 FY2011'!$F:$F)</f>
        <v>-43868.975999999995</v>
      </c>
      <c r="G41" s="17">
        <f>-SUMIF('1.2 FY2012'!$B:$B,'2.1 Database'!B41,'1.2 FY2012'!$F:$F)</f>
        <v>-208366.935</v>
      </c>
      <c r="H41" s="17">
        <f>-SUMIF('1.3 FY2013'!$B:$B,'2.1 Database'!B41,'1.3 FY2013'!$F:$F)</f>
        <v>-106525.708</v>
      </c>
      <c r="J41" s="35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7">
        <f>-SUMIF('1.1 FY2011'!$B:$B,'2.1 Database'!B42,'1.1 FY2011'!$F:$F)</f>
        <v>-10934.671999999999</v>
      </c>
      <c r="G42" s="17">
        <f>-SUMIF('1.2 FY2012'!$B:$B,'2.1 Database'!B42,'1.2 FY2012'!$F:$F)</f>
        <v>-20323.309999999998</v>
      </c>
      <c r="H42" s="17">
        <f>-SUMIF('1.3 FY2013'!$B:$B,'2.1 Database'!B42,'1.3 FY2013'!$F:$F)</f>
        <v>-109811.284</v>
      </c>
      <c r="J42" s="35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7">
        <f>-SUMIF('1.1 FY2011'!$B:$B,'2.1 Database'!B43,'1.1 FY2011'!$F:$F)</f>
        <v>-20400</v>
      </c>
      <c r="G43" s="17">
        <f>-SUMIF('1.2 FY2012'!$B:$B,'2.1 Database'!B43,'1.2 FY2012'!$F:$F)</f>
        <v>-169489</v>
      </c>
      <c r="H43" s="17">
        <f>-SUMIF('1.3 FY2013'!$B:$B,'2.1 Database'!B43,'1.3 FY2013'!$F:$F)</f>
        <v>-61111.483999999997</v>
      </c>
      <c r="J43" s="35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7">
        <f>-SUMIF('1.1 FY2011'!$B:$B,'2.1 Database'!B44,'1.1 FY2011'!$F:$F)</f>
        <v>0</v>
      </c>
      <c r="G44" s="17">
        <f>-SUMIF('1.2 FY2012'!$B:$B,'2.1 Database'!B44,'1.2 FY2012'!$F:$F)</f>
        <v>0</v>
      </c>
      <c r="H44" s="17">
        <f>-SUMIF('1.3 FY2013'!$B:$B,'2.1 Database'!B44,'1.3 FY2013'!$F:$F)</f>
        <v>-1684415.2999999998</v>
      </c>
      <c r="J44" s="35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7">
        <f>-SUMIF('1.1 FY2011'!$B:$B,'2.1 Database'!B45,'1.1 FY2011'!$F:$F)</f>
        <v>-563918.152</v>
      </c>
      <c r="G45" s="17">
        <f>-SUMIF('1.2 FY2012'!$B:$B,'2.1 Database'!B45,'1.2 FY2012'!$F:$F)</f>
        <v>-638869.13</v>
      </c>
      <c r="H45" s="17">
        <f>-SUMIF('1.3 FY2013'!$B:$B,'2.1 Database'!B45,'1.3 FY2013'!$F:$F)</f>
        <v>-575626.2649999999</v>
      </c>
      <c r="J45" s="35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7">
        <f>-SUMIF('1.1 FY2011'!$B:$B,'2.1 Database'!B46,'1.1 FY2011'!$F:$F)</f>
        <v>0</v>
      </c>
      <c r="G46" s="17">
        <f>-SUMIF('1.2 FY2012'!$B:$B,'2.1 Database'!B46,'1.2 FY2012'!$F:$F)</f>
        <v>0</v>
      </c>
      <c r="H46" s="17">
        <f>-SUMIF('1.3 FY2013'!$B:$B,'2.1 Database'!B46,'1.3 FY2013'!$F:$F)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7">
        <f>-SUMIF('1.1 FY2011'!$B:$B,'2.1 Database'!B47,'1.1 FY2011'!$F:$F)</f>
        <v>0</v>
      </c>
      <c r="G47" s="17">
        <f>-SUMIF('1.2 FY2012'!$B:$B,'2.1 Database'!B47,'1.2 FY2012'!$F:$F)</f>
        <v>0</v>
      </c>
      <c r="H47" s="17">
        <f>-SUMIF('1.3 FY2013'!$B:$B,'2.1 Database'!B47,'1.3 FY2013'!$F:$F)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7">
        <f>-SUMIF('1.1 FY2011'!$B:$B,'2.1 Database'!B48,'1.1 FY2011'!$F:$F)</f>
        <v>0</v>
      </c>
      <c r="G48" s="17">
        <f>-SUMIF('1.2 FY2012'!$B:$B,'2.1 Database'!B48,'1.2 FY2012'!$F:$F)</f>
        <v>0</v>
      </c>
      <c r="H48" s="17">
        <f>-SUMIF('1.3 FY2013'!$B:$B,'2.1 Database'!B48,'1.3 FY2013'!$F:$F)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7">
        <f>-SUMIF('1.1 FY2011'!$B:$B,'2.1 Database'!B49,'1.1 FY2011'!$F:$F)</f>
        <v>0</v>
      </c>
      <c r="G49" s="17">
        <f>-SUMIF('1.2 FY2012'!$B:$B,'2.1 Database'!B49,'1.2 FY2012'!$F:$F)</f>
        <v>0</v>
      </c>
      <c r="H49" s="17">
        <f>-SUMIF('1.3 FY2013'!$B:$B,'2.1 Database'!B49,'1.3 FY2013'!$F:$F)</f>
        <v>0</v>
      </c>
      <c r="J49" s="35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7">
        <f>-SUMIF('1.1 FY2011'!$B:$B,'2.1 Database'!B50,'1.1 FY2011'!$F:$F)</f>
        <v>0</v>
      </c>
      <c r="G50" s="17">
        <f>-SUMIF('1.2 FY2012'!$B:$B,'2.1 Database'!B50,'1.2 FY2012'!$F:$F)</f>
        <v>0</v>
      </c>
      <c r="H50" s="17">
        <f>-SUMIF('1.3 FY2013'!$B:$B,'2.1 Database'!B50,'1.3 FY2013'!$F:$F)</f>
        <v>0</v>
      </c>
      <c r="J50" s="35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7">
        <f>-SUMIF('1.1 FY2011'!$B:$B,'2.1 Database'!B51,'1.1 FY2011'!$F:$F)</f>
        <v>0</v>
      </c>
      <c r="G51" s="17">
        <f>-SUMIF('1.2 FY2012'!$B:$B,'2.1 Database'!B51,'1.2 FY2012'!$F:$F)</f>
        <v>0</v>
      </c>
      <c r="H51" s="17">
        <f>-SUMIF('1.3 FY2013'!$B:$B,'2.1 Database'!B51,'1.3 FY2013'!$F:$F)</f>
        <v>0</v>
      </c>
      <c r="J51" s="35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7">
        <f>-SUMIF('1.1 FY2011'!$B:$B,'2.1 Database'!B52,'1.1 FY2011'!$F:$F)</f>
        <v>35810.228000000003</v>
      </c>
      <c r="G52" s="17">
        <f>-SUMIF('1.2 FY2012'!$B:$B,'2.1 Database'!B52,'1.2 FY2012'!$F:$F)</f>
        <v>34224.959999999999</v>
      </c>
      <c r="H52" s="17">
        <f>-SUMIF('1.3 FY2013'!$B:$B,'2.1 Database'!B52,'1.3 FY2013'!$F:$F)</f>
        <v>0</v>
      </c>
      <c r="J52" s="35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7">
        <f>-SUMIF('1.1 FY2011'!$B:$B,'2.1 Database'!B53,'1.1 FY2011'!$F:$F)</f>
        <v>51927.417999999998</v>
      </c>
      <c r="G53" s="17">
        <f>-SUMIF('1.2 FY2012'!$B:$B,'2.1 Database'!B53,'1.2 FY2012'!$F:$F)</f>
        <v>2204.7199999999998</v>
      </c>
      <c r="H53" s="17">
        <f>-SUMIF('1.3 FY2013'!$B:$B,'2.1 Database'!B53,'1.3 FY2013'!$F:$F)</f>
        <v>73809.511999999988</v>
      </c>
      <c r="J53" s="35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7">
        <f>-SUMIF('1.1 FY2011'!$B:$B,'2.1 Database'!B54,'1.1 FY2011'!$F:$F)</f>
        <v>862270.63399999996</v>
      </c>
      <c r="G54" s="17">
        <f>-SUMIF('1.2 FY2012'!$B:$B,'2.1 Database'!B54,'1.2 FY2012'!$F:$F)</f>
        <v>0</v>
      </c>
      <c r="H54" s="17">
        <f>-SUMIF('1.3 FY2013'!$B:$B,'2.1 Database'!B54,'1.3 FY2013'!$F:$F)</f>
        <v>0</v>
      </c>
      <c r="J54" s="35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7">
        <f>-SUMIF('1.1 FY2011'!$B:$B,'2.1 Database'!B55,'1.1 FY2011'!$F:$F)</f>
        <v>-22763</v>
      </c>
      <c r="G55" s="17">
        <f>-SUMIF('1.2 FY2012'!$B:$B,'2.1 Database'!B55,'1.2 FY2012'!$F:$F)</f>
        <v>-80617.179999999993</v>
      </c>
      <c r="H55" s="17">
        <f>-SUMIF('1.3 FY2013'!$B:$B,'2.1 Database'!B55,'1.3 FY2013'!$F:$F)</f>
        <v>-7173.195999999999</v>
      </c>
      <c r="J55" s="35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7">
        <f>-SUMIF('1.1 FY2011'!$B:$B,'2.1 Database'!B56,'1.1 FY2011'!$F:$F)</f>
        <v>-2930430.0120000001</v>
      </c>
      <c r="G56" s="17">
        <f>-SUMIF('1.2 FY2012'!$B:$B,'2.1 Database'!B56,'1.2 FY2012'!$F:$F)</f>
        <v>-2752704.22</v>
      </c>
      <c r="H56" s="17">
        <f>-SUMIF('1.3 FY2013'!$B:$B,'2.1 Database'!B56,'1.3 FY2013'!$F:$F)</f>
        <v>-2324465.8859999999</v>
      </c>
      <c r="J56" s="35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7">
        <f>-SUMIF('1.1 FY2011'!$B:$B,'2.1 Database'!B57,'1.1 FY2011'!$F:$F)</f>
        <v>49378.641999999993</v>
      </c>
      <c r="G57" s="17">
        <f>-SUMIF('1.2 FY2012'!$B:$B,'2.1 Database'!B57,'1.2 FY2012'!$F:$F)</f>
        <v>-496748.70000000007</v>
      </c>
      <c r="H57" s="17">
        <f>-SUMIF('1.3 FY2013'!$B:$B,'2.1 Database'!B57,'1.3 FY2013'!$F:$F)</f>
        <v>-2558.1950000000002</v>
      </c>
      <c r="J57" s="35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7">
        <f>-SUMIF('1.1 FY2011'!$B:$B,'2.1 Database'!B58,'1.1 FY2011'!$F:$F)</f>
        <v>-516250.67</v>
      </c>
      <c r="G58" s="17">
        <f>-SUMIF('1.2 FY2012'!$B:$B,'2.1 Database'!B58,'1.2 FY2012'!$F:$F)</f>
        <v>-480872.96000000002</v>
      </c>
      <c r="H58" s="17">
        <f>-SUMIF('1.3 FY2013'!$B:$B,'2.1 Database'!B58,'1.3 FY2013'!$F:$F)</f>
        <v>-522710.353</v>
      </c>
      <c r="J58" s="35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7">
        <f>-SUMIF('1.1 FY2011'!$B:$B,'2.1 Database'!B59,'1.1 FY2011'!$F:$F)</f>
        <v>-21593.093999999997</v>
      </c>
      <c r="G59" s="17">
        <f>-SUMIF('1.2 FY2012'!$B:$B,'2.1 Database'!B59,'1.2 FY2012'!$F:$F)</f>
        <v>-6570.3050000000003</v>
      </c>
      <c r="H59" s="17">
        <f>-SUMIF('1.3 FY2013'!$B:$B,'2.1 Database'!B59,'1.3 FY2013'!$F:$F)</f>
        <v>160303.52199999997</v>
      </c>
      <c r="J59" s="35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7">
        <f>SUMIF('1.1 FY2011'!$B:$B,'2.1 Database'!B60,'1.1 FY2011'!$F:$F)</f>
        <v>-2904117.9939999986</v>
      </c>
      <c r="G60" s="17">
        <f>SUMIF('1.2 FY2012'!$B:$B,'2.1 Database'!B60,'1.2 FY2012'!$F:$F)</f>
        <v>0</v>
      </c>
      <c r="H60" s="17">
        <f>SUMIF('1.3 FY2013'!$B:$B,'2.1 Database'!B60,'1.3 FY2013'!$F:$F)</f>
        <v>0</v>
      </c>
      <c r="J60" s="35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7">
        <f>-SUMIF('1.1 FY2011'!$B:$B,'2.1 Database'!B61,'1.1 FY2011'!$F:$F)</f>
        <v>0</v>
      </c>
      <c r="G61" s="17">
        <f>-SUMIF('1.2 FY2012'!$B:$B,'2.1 Database'!B61,'1.2 FY2012'!$F:$F)</f>
        <v>355396.61499999999</v>
      </c>
      <c r="H61" s="17">
        <f>-SUMIF('1.3 FY2013'!$B:$B,'2.1 Database'!B61,'1.3 FY2013'!$F:$F)</f>
        <v>616462.01899999997</v>
      </c>
      <c r="J61" s="35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7">
        <f>-SUMIF('1.1 FY2011'!$B:$B,'2.1 Database'!B62,'1.1 FY2011'!$F:$F)</f>
        <v>0</v>
      </c>
      <c r="G62" s="17">
        <f>-SUMIF('1.2 FY2012'!$B:$B,'2.1 Database'!B62,'1.2 FY2012'!$F:$F)</f>
        <v>420017.14999999997</v>
      </c>
      <c r="H62" s="17">
        <f>-SUMIF('1.3 FY2013'!$B:$B,'2.1 Database'!B62,'1.3 FY2013'!$F:$F)</f>
        <v>0</v>
      </c>
      <c r="J62" s="35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7">
        <f>-SUMIF('1.1 FY2011'!$B:$B,'2.1 Database'!B63,'1.1 FY2011'!$F:$F)</f>
        <v>0</v>
      </c>
      <c r="G63" s="17">
        <f>-SUMIF('1.2 FY2012'!$B:$B,'2.1 Database'!B63,'1.2 FY2012'!$F:$F)</f>
        <v>-14589.33</v>
      </c>
      <c r="H63" s="17">
        <f>-SUMIF('1.3 FY2013'!$B:$B,'2.1 Database'!B63,'1.3 FY2013'!$F:$F)</f>
        <v>-20504.509999999998</v>
      </c>
      <c r="J63" s="35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7">
        <f>-SUMIF('1.1 FY2011'!$B:$B,'2.1 Database'!B64,'1.1 FY2011'!$F:$F)</f>
        <v>0</v>
      </c>
      <c r="G64" s="17">
        <f>-SUMIF('1.2 FY2012'!$B:$B,'2.1 Database'!B64,'1.2 FY2012'!$F:$F)</f>
        <v>-38521</v>
      </c>
      <c r="H64" s="17">
        <f>-SUMIF('1.3 FY2013'!$B:$B,'2.1 Database'!B64,'1.3 FY2013'!$F:$F)</f>
        <v>0</v>
      </c>
      <c r="J64" s="35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7">
        <f>-SUMIF('1.1 FY2011'!$B:$B,'2.1 Database'!B65,'1.1 FY2011'!$F:$F)</f>
        <v>0</v>
      </c>
      <c r="G65" s="17">
        <f>-SUMIF('1.2 FY2012'!$B:$B,'2.1 Database'!B65,'1.2 FY2012'!$F:$F)</f>
        <v>-1820</v>
      </c>
      <c r="H65" s="17">
        <f>-SUMIF('1.3 FY2013'!$B:$B,'2.1 Database'!B65,'1.3 FY2013'!$F:$F)</f>
        <v>0</v>
      </c>
      <c r="J65" s="35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7">
        <f>-SUMIF('1.1 FY2011'!$B:$B,'2.1 Database'!B66,'1.1 FY2011'!$F:$F)</f>
        <v>0</v>
      </c>
      <c r="G66" s="17">
        <f>-SUMIF('1.2 FY2012'!$B:$B,'2.1 Database'!B66,'1.2 FY2012'!$F:$F)</f>
        <v>-10448.129999999999</v>
      </c>
      <c r="H66" s="17">
        <f>-SUMIF('1.3 FY2013'!$B:$B,'2.1 Database'!B66,'1.3 FY2013'!$F:$F)</f>
        <v>-673.34299999999985</v>
      </c>
      <c r="J66" s="35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7">
        <f>-SUMIF('1.1 FY2011'!$B:$B,'2.1 Database'!B67,'1.1 FY2011'!$F:$F)</f>
        <v>0</v>
      </c>
      <c r="G67" s="17">
        <f>-SUMIF('1.2 FY2012'!$B:$B,'2.1 Database'!B67,'1.2 FY2012'!$F:$F)</f>
        <v>-10412.5</v>
      </c>
      <c r="H67" s="17">
        <f>-SUMIF('1.3 FY2013'!$B:$B,'2.1 Database'!B67,'1.3 FY2013'!$F:$F)</f>
        <v>0</v>
      </c>
      <c r="J67" s="35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7">
        <f>-SUMIF('1.1 FY2011'!$B:$B,'2.1 Database'!B68,'1.1 FY2011'!$F:$F)</f>
        <v>0</v>
      </c>
      <c r="G68" s="17">
        <f>-SUMIF('1.2 FY2012'!$B:$B,'2.1 Database'!B68,'1.2 FY2012'!$F:$F)</f>
        <v>-6919.8499999999995</v>
      </c>
      <c r="H68" s="17">
        <f>-SUMIF('1.3 FY2013'!$B:$B,'2.1 Database'!B68,'1.3 FY2013'!$F:$F)</f>
        <v>0</v>
      </c>
      <c r="J68" s="35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7">
        <f>-SUMIF('1.1 FY2011'!$B:$B,'2.1 Database'!B69,'1.1 FY2011'!$F:$F)</f>
        <v>0</v>
      </c>
      <c r="G69" s="17">
        <f>-SUMIF('1.2 FY2012'!$B:$B,'2.1 Database'!B69,'1.2 FY2012'!$F:$F)</f>
        <v>121553.07499999998</v>
      </c>
      <c r="H69" s="17">
        <f>-SUMIF('1.3 FY2013'!$B:$B,'2.1 Database'!B69,'1.3 FY2013'!$F:$F)</f>
        <v>0</v>
      </c>
      <c r="J69" s="35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7">
        <f>-SUMIF('1.1 FY2011'!$B:$B,'2.1 Database'!B70,'1.1 FY2011'!$F:$F)</f>
        <v>0</v>
      </c>
      <c r="G70" s="17">
        <f>-SUMIF('1.2 FY2012'!$B:$B,'2.1 Database'!B70,'1.2 FY2012'!$F:$F)</f>
        <v>416278.66</v>
      </c>
      <c r="H70" s="17">
        <f>-SUMIF('1.3 FY2013'!$B:$B,'2.1 Database'!B70,'1.3 FY2013'!$F:$F)</f>
        <v>622966.38600000006</v>
      </c>
      <c r="J70" s="35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7">
        <f>-SUMIF('1.1 FY2011'!$B:$B,'2.1 Database'!B71,'1.1 FY2011'!$F:$F)</f>
        <v>0</v>
      </c>
      <c r="G71" s="17">
        <f>-SUMIF('1.2 FY2012'!$B:$B,'2.1 Database'!B71,'1.2 FY2012'!$F:$F)</f>
        <v>364243.84499999997</v>
      </c>
      <c r="H71" s="17">
        <f>-SUMIF('1.3 FY2013'!$B:$B,'2.1 Database'!B71,'1.3 FY2013'!$F:$F)</f>
        <v>0</v>
      </c>
      <c r="J71" s="35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7">
        <f>-SUMIF('1.1 FY2011'!$B:$B,'2.1 Database'!B72,'1.1 FY2011'!$F:$F)</f>
        <v>0</v>
      </c>
      <c r="G72" s="17">
        <f>-SUMIF('1.2 FY2012'!$B:$B,'2.1 Database'!B72,'1.2 FY2012'!$F:$F)</f>
        <v>0</v>
      </c>
      <c r="H72" s="17">
        <f>-SUMIF('1.3 FY2013'!$B:$B,'2.1 Database'!B72,'1.3 FY2013'!$F:$F)</f>
        <v>0</v>
      </c>
      <c r="J72" s="35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7">
        <f>-SUMIF('1.1 FY2011'!$B:$B,'2.1 Database'!B73,'1.1 FY2011'!$F:$F)</f>
        <v>0</v>
      </c>
      <c r="G73" s="17">
        <f>-SUMIF('1.2 FY2012'!$B:$B,'2.1 Database'!B73,'1.2 FY2012'!$F:$F)</f>
        <v>482611.04499999998</v>
      </c>
      <c r="H73" s="17">
        <f>-SUMIF('1.3 FY2013'!$B:$B,'2.1 Database'!B73,'1.3 FY2013'!$F:$F)</f>
        <v>1948832.1429999999</v>
      </c>
      <c r="J73" s="35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7">
        <f>-SUMIF('1.1 FY2011'!$B:$B,'2.1 Database'!B74,'1.1 FY2011'!$F:$F)</f>
        <v>0</v>
      </c>
      <c r="G74" s="17">
        <f>-SUMIF('1.2 FY2012'!$B:$B,'2.1 Database'!B74,'1.2 FY2012'!$F:$F)</f>
        <v>2436.35</v>
      </c>
      <c r="H74" s="17">
        <f>-SUMIF('1.3 FY2013'!$B:$B,'2.1 Database'!B74,'1.3 FY2013'!$F:$F)</f>
        <v>0</v>
      </c>
      <c r="J74" s="35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7">
        <f>-SUMIF('1.1 FY2011'!$B:$B,'2.1 Database'!B75,'1.1 FY2011'!$F:$F)</f>
        <v>0</v>
      </c>
      <c r="G75" s="17">
        <f>-SUMIF('1.2 FY2012'!$B:$B,'2.1 Database'!B75,'1.2 FY2012'!$F:$F)</f>
        <v>-81.339999999999989</v>
      </c>
      <c r="H75" s="17">
        <f>-SUMIF('1.3 FY2013'!$B:$B,'2.1 Database'!B75,'1.3 FY2013'!$F:$F)</f>
        <v>0</v>
      </c>
      <c r="J75" s="35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7">
        <f>-SUMIF('1.1 FY2011'!$B:$B,'2.1 Database'!B76,'1.1 FY2011'!$F:$F)</f>
        <v>0</v>
      </c>
      <c r="G76" s="17">
        <f>-SUMIF('1.2 FY2012'!$B:$B,'2.1 Database'!B76,'1.2 FY2012'!$F:$F)</f>
        <v>-276920</v>
      </c>
      <c r="H76" s="17">
        <f>-SUMIF('1.3 FY2013'!$B:$B,'2.1 Database'!B76,'1.3 FY2013'!$F:$F)</f>
        <v>-473575.46100000001</v>
      </c>
      <c r="J76" s="35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7">
        <f>-SUMIF('1.1 FY2011'!$B:$B,'2.1 Database'!B77,'1.1 FY2011'!$F:$F)</f>
        <v>0</v>
      </c>
      <c r="G77" s="17">
        <f>-SUMIF('1.2 FY2012'!$B:$B,'2.1 Database'!B77,'1.2 FY2012'!$F:$F)</f>
        <v>0</v>
      </c>
      <c r="H77" s="17">
        <f>-SUMIF('1.3 FY2013'!$B:$B,'2.1 Database'!B77,'1.3 FY2013'!$F:$F)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7">
        <f>-SUMIF('1.1 FY2011'!$B:$B,'2.1 Database'!B78,'1.1 FY2011'!$F:$F)</f>
        <v>0</v>
      </c>
      <c r="G78" s="17">
        <f>-SUMIF('1.2 FY2012'!$B:$B,'2.1 Database'!B78,'1.2 FY2012'!$F:$F)</f>
        <v>-23928.799999999999</v>
      </c>
      <c r="H78" s="17">
        <f>-SUMIF('1.3 FY2013'!$B:$B,'2.1 Database'!B78,'1.3 FY2013'!$F:$F)</f>
        <v>0</v>
      </c>
      <c r="J78" s="35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7">
        <f>-SUMIF('1.1 FY2011'!$B:$B,'2.1 Database'!B79,'1.1 FY2011'!$F:$F)</f>
        <v>0</v>
      </c>
      <c r="G79" s="17">
        <f>-SUMIF('1.2 FY2012'!$B:$B,'2.1 Database'!B79,'1.2 FY2012'!$F:$F)</f>
        <v>-308232</v>
      </c>
      <c r="H79" s="17">
        <f>-SUMIF('1.3 FY2013'!$B:$B,'2.1 Database'!B79,'1.3 FY2013'!$F:$F)</f>
        <v>0</v>
      </c>
      <c r="J79" s="35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7">
        <f>-SUMIF('1.1 FY2011'!$B:$B,'2.1 Database'!B80,'1.1 FY2011'!$F:$F)</f>
        <v>0</v>
      </c>
      <c r="G80" s="17">
        <f>-SUMIF('1.2 FY2012'!$B:$B,'2.1 Database'!B80,'1.2 FY2012'!$F:$F)</f>
        <v>-13422.779999999999</v>
      </c>
      <c r="H80" s="17">
        <f>-SUMIF('1.3 FY2013'!$B:$B,'2.1 Database'!B80,'1.3 FY2013'!$F:$F)</f>
        <v>0</v>
      </c>
      <c r="J80" s="35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7">
        <f>-SUMIF('1.1 FY2011'!$B:$B,'2.1 Database'!B81,'1.1 FY2011'!$F:$F)</f>
        <v>0</v>
      </c>
      <c r="G81" s="17">
        <f>-SUMIF('1.2 FY2012'!$B:$B,'2.1 Database'!B81,'1.2 FY2012'!$F:$F)</f>
        <v>-4045.6150000000002</v>
      </c>
      <c r="H81" s="17">
        <f>-SUMIF('1.3 FY2013'!$B:$B,'2.1 Database'!B81,'1.3 FY2013'!$F:$F)</f>
        <v>0</v>
      </c>
      <c r="J81" s="35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7">
        <f>-SUMIF('1.1 FY2011'!$B:$B,'2.1 Database'!B82,'1.1 FY2011'!$F:$F)</f>
        <v>0</v>
      </c>
      <c r="G82" s="17">
        <f>-SUMIF('1.2 FY2012'!$B:$B,'2.1 Database'!B82,'1.2 FY2012'!$F:$F)</f>
        <v>-49621.144999999997</v>
      </c>
      <c r="H82" s="17">
        <f>-SUMIF('1.3 FY2013'!$B:$B,'2.1 Database'!B82,'1.3 FY2013'!$F:$F)</f>
        <v>0</v>
      </c>
      <c r="J82" s="35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7">
        <f>-SUMIF('1.1 FY2011'!$B:$B,'2.1 Database'!B83,'1.1 FY2011'!$F:$F)</f>
        <v>0</v>
      </c>
      <c r="G83" s="17">
        <f>-SUMIF('1.2 FY2012'!$B:$B,'2.1 Database'!B83,'1.2 FY2012'!$F:$F)</f>
        <v>-85462.684999999998</v>
      </c>
      <c r="H83" s="17">
        <f>-SUMIF('1.3 FY2013'!$B:$B,'2.1 Database'!B83,'1.3 FY2013'!$F:$F)</f>
        <v>0</v>
      </c>
      <c r="J83" s="35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7">
        <f>-SUMIF('1.1 FY2011'!$B:$B,'2.1 Database'!B84,'1.1 FY2011'!$F:$F)</f>
        <v>0</v>
      </c>
      <c r="G84" s="17">
        <f>-SUMIF('1.2 FY2012'!$B:$B,'2.1 Database'!B84,'1.2 FY2012'!$F:$F)</f>
        <v>-11422.144999999999</v>
      </c>
      <c r="H84" s="17">
        <f>-SUMIF('1.3 FY2013'!$B:$B,'2.1 Database'!B84,'1.3 FY2013'!$F:$F)</f>
        <v>0</v>
      </c>
      <c r="J84" s="35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7">
        <f>-SUMIF('1.1 FY2011'!$B:$B,'2.1 Database'!B85,'1.1 FY2011'!$F:$F)</f>
        <v>0</v>
      </c>
      <c r="G85" s="17">
        <f>-SUMIF('1.2 FY2012'!$B:$B,'2.1 Database'!B85,'1.2 FY2012'!$F:$F)</f>
        <v>-84438.864999999991</v>
      </c>
      <c r="H85" s="17">
        <f>-SUMIF('1.3 FY2013'!$B:$B,'2.1 Database'!B85,'1.3 FY2013'!$F:$F)</f>
        <v>0</v>
      </c>
      <c r="J85" s="35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7">
        <f>-SUMIF('1.1 FY2011'!$B:$B,'2.1 Database'!B86,'1.1 FY2011'!$F:$F)</f>
        <v>0</v>
      </c>
      <c r="G86" s="17">
        <f>-SUMIF('1.2 FY2012'!$B:$B,'2.1 Database'!B86,'1.2 FY2012'!$F:$F)</f>
        <v>0</v>
      </c>
      <c r="H86" s="17">
        <f>-SUMIF('1.3 FY2013'!$B:$B,'2.1 Database'!B86,'1.3 FY2013'!$F:$F)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7">
        <f>-SUMIF('1.1 FY2011'!$B:$B,'2.1 Database'!B87,'1.1 FY2011'!$F:$F)</f>
        <v>0</v>
      </c>
      <c r="G87" s="17">
        <f>-SUMIF('1.2 FY2012'!$B:$B,'2.1 Database'!B87,'1.2 FY2012'!$F:$F)</f>
        <v>0</v>
      </c>
      <c r="H87" s="17">
        <f>-SUMIF('1.3 FY2013'!$B:$B,'2.1 Database'!B87,'1.3 FY2013'!$F:$F)</f>
        <v>0</v>
      </c>
      <c r="J87" s="35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7">
        <f>-SUMIF('1.1 FY2011'!$B:$B,'2.1 Database'!B88,'1.1 FY2011'!$F:$F)</f>
        <v>0</v>
      </c>
      <c r="G88" s="17">
        <f>-SUMIF('1.2 FY2012'!$B:$B,'2.1 Database'!B88,'1.2 FY2012'!$F:$F)</f>
        <v>6778.415</v>
      </c>
      <c r="H88" s="17">
        <f>-SUMIF('1.3 FY2013'!$B:$B,'2.1 Database'!B88,'1.3 FY2013'!$F:$F)</f>
        <v>0</v>
      </c>
      <c r="J88" s="35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7">
        <f>-SUMIF('1.1 FY2011'!$B:$B,'2.1 Database'!B89,'1.1 FY2011'!$F:$F)</f>
        <v>0</v>
      </c>
      <c r="G89" s="17">
        <f>-SUMIF('1.2 FY2012'!$B:$B,'2.1 Database'!B89,'1.2 FY2012'!$F:$F)</f>
        <v>0</v>
      </c>
      <c r="H89" s="17">
        <f>-SUMIF('1.3 FY2013'!$B:$B,'2.1 Database'!B89,'1.3 FY2013'!$F:$F)</f>
        <v>0</v>
      </c>
      <c r="J89" s="35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7">
        <f>-SUMIF('1.1 FY2011'!$B:$B,'2.1 Database'!B90,'1.1 FY2011'!$F:$F)</f>
        <v>0</v>
      </c>
      <c r="G90" s="17">
        <f>-SUMIF('1.2 FY2012'!$B:$B,'2.1 Database'!B90,'1.2 FY2012'!$F:$F)</f>
        <v>-1250.7950000000001</v>
      </c>
      <c r="H90" s="17">
        <f>-SUMIF('1.3 FY2013'!$B:$B,'2.1 Database'!B90,'1.3 FY2013'!$F:$F)</f>
        <v>-51.454999999999998</v>
      </c>
      <c r="J90" s="35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7">
        <f>-SUMIF('1.1 FY2011'!$B:$B,'2.1 Database'!B91,'1.1 FY2011'!$F:$F)</f>
        <v>0</v>
      </c>
      <c r="G91" s="17">
        <f>-SUMIF('1.2 FY2012'!$B:$B,'2.1 Database'!B91,'1.2 FY2012'!$F:$F)</f>
        <v>-4130000</v>
      </c>
      <c r="H91" s="17">
        <f>-SUMIF('1.3 FY2013'!$B:$B,'2.1 Database'!B91,'1.3 FY2013'!$F:$F)</f>
        <v>0</v>
      </c>
      <c r="J91" s="35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7">
        <f>-SUMIF('1.1 FY2011'!$B:$B,'2.1 Database'!B92,'1.1 FY2011'!$F:$F)</f>
        <v>0</v>
      </c>
      <c r="G92" s="17">
        <f>-SUMIF('1.2 FY2012'!$B:$B,'2.1 Database'!B92,'1.2 FY2012'!$F:$F)</f>
        <v>0</v>
      </c>
      <c r="H92" s="17">
        <f>-SUMIF('1.3 FY2013'!$B:$B,'2.1 Database'!B92,'1.3 FY2013'!$F:$F)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7">
        <f>SUMIF('1.1 FY2011'!$B:$B,'2.1 Database'!B93,'1.1 FY2011'!$F:$F)</f>
        <v>0</v>
      </c>
      <c r="G93" s="17">
        <f>SUMIF('1.2 FY2012'!$B:$B,'2.1 Database'!B93,'1.2 FY2012'!$F:$F)</f>
        <v>6073808.1600000001</v>
      </c>
      <c r="H93" s="17">
        <f>SUMIF('1.3 FY2013'!$B:$B,'2.1 Database'!B93,'1.3 FY2013'!$F:$F)</f>
        <v>-779290.47600000002</v>
      </c>
      <c r="J93" s="35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7">
        <f>-SUMIF('1.1 FY2011'!$B:$B,'2.1 Database'!B94,'1.1 FY2011'!$F:$F)</f>
        <v>0</v>
      </c>
      <c r="G94" s="17">
        <f>-SUMIF('1.2 FY2012'!$B:$B,'2.1 Database'!B94,'1.2 FY2012'!$F:$F)</f>
        <v>0</v>
      </c>
      <c r="H94" s="17">
        <f>-SUMIF('1.3 FY2013'!$B:$B,'2.1 Database'!B94,'1.3 FY2013'!$F:$F)</f>
        <v>-13691.949999999999</v>
      </c>
      <c r="J94" s="35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7">
        <f>-SUMIF('1.1 FY2011'!$B:$B,'2.1 Database'!B95,'1.1 FY2011'!$F:$F)</f>
        <v>0</v>
      </c>
      <c r="G95" s="17">
        <f>-SUMIF('1.2 FY2012'!$B:$B,'2.1 Database'!B95,'1.2 FY2012'!$F:$F)</f>
        <v>0</v>
      </c>
      <c r="H95" s="17">
        <f>-SUMIF('1.3 FY2013'!$B:$B,'2.1 Database'!B95,'1.3 FY2013'!$F:$F)</f>
        <v>-192017.14499999996</v>
      </c>
      <c r="J95" s="35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7">
        <f>-SUMIF('1.1 FY2011'!$B:$B,'2.1 Database'!B96,'1.1 FY2011'!$F:$F)</f>
        <v>0</v>
      </c>
      <c r="G96" s="17">
        <f>-SUMIF('1.2 FY2012'!$B:$B,'2.1 Database'!B96,'1.2 FY2012'!$F:$F)</f>
        <v>0</v>
      </c>
      <c r="H96" s="17">
        <f>-SUMIF('1.3 FY2013'!$B:$B,'2.1 Database'!B96,'1.3 FY2013'!$F:$F)</f>
        <v>-375290.46599999996</v>
      </c>
      <c r="J96" s="35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7">
        <f>-SUMIF('1.1 FY2011'!$B:$B,'2.1 Database'!B97,'1.1 FY2011'!$F:$F)</f>
        <v>0</v>
      </c>
      <c r="G97" s="17">
        <f>-SUMIF('1.2 FY2012'!$B:$B,'2.1 Database'!B97,'1.2 FY2012'!$F:$F)</f>
        <v>0</v>
      </c>
      <c r="H97" s="17">
        <f>-SUMIF('1.3 FY2013'!$B:$B,'2.1 Database'!B97,'1.3 FY2013'!$F:$F)</f>
        <v>-4920</v>
      </c>
      <c r="J97" s="35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7">
        <f>-SUMIF('1.1 FY2011'!$B:$B,'2.1 Database'!B98,'1.1 FY2011'!$F:$F)</f>
        <v>0</v>
      </c>
      <c r="G98" s="17">
        <f>-SUMIF('1.2 FY2012'!$B:$B,'2.1 Database'!B98,'1.2 FY2012'!$F:$F)</f>
        <v>0</v>
      </c>
      <c r="H98" s="17">
        <f>-SUMIF('1.3 FY2013'!$B:$B,'2.1 Database'!B98,'1.3 FY2013'!$F:$F)</f>
        <v>0</v>
      </c>
      <c r="J98" s="35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7">
        <f>-SUMIF('1.1 FY2011'!$B:$B,'2.1 Database'!B99,'1.1 FY2011'!$F:$F)</f>
        <v>0</v>
      </c>
      <c r="G99" s="17">
        <f>-SUMIF('1.2 FY2012'!$B:$B,'2.1 Database'!B99,'1.2 FY2012'!$F:$F)</f>
        <v>0</v>
      </c>
      <c r="H99" s="17">
        <f>-SUMIF('1.3 FY2013'!$B:$B,'2.1 Database'!B99,'1.3 FY2013'!$F:$F)</f>
        <v>1252.8369999999998</v>
      </c>
      <c r="J99" s="35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7">
        <f>-SUMIF('1.1 FY2011'!$B:$B,'2.1 Database'!B100,'1.1 FY2011'!$F:$F)</f>
        <v>0</v>
      </c>
      <c r="G100" s="17">
        <f>-SUMIF('1.2 FY2012'!$B:$B,'2.1 Database'!B100,'1.2 FY2012'!$F:$F)</f>
        <v>0</v>
      </c>
      <c r="H100" s="17">
        <f>-SUMIF('1.3 FY2013'!$B:$B,'2.1 Database'!B100,'1.3 FY2013'!$F:$F)</f>
        <v>0</v>
      </c>
      <c r="J100" s="35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7">
        <f>-SUMIF('1.1 FY2011'!$B:$B,'2.1 Database'!B101,'1.1 FY2011'!$F:$F)</f>
        <v>0</v>
      </c>
      <c r="G101" s="17">
        <f>-SUMIF('1.2 FY2012'!$B:$B,'2.1 Database'!B101,'1.2 FY2012'!$F:$F)</f>
        <v>0</v>
      </c>
      <c r="H101" s="17">
        <f>-SUMIF('1.3 FY2013'!$B:$B,'2.1 Database'!B101,'1.3 FY2013'!$F:$F)</f>
        <v>61499.999999999993</v>
      </c>
      <c r="J101" s="35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7">
        <f>-SUMIF('1.1 FY2011'!$B:$B,'2.1 Database'!B102,'1.1 FY2011'!$F:$F)</f>
        <v>0</v>
      </c>
      <c r="G102" s="17">
        <f>-SUMIF('1.2 FY2012'!$B:$B,'2.1 Database'!B102,'1.2 FY2012'!$F:$F)</f>
        <v>0</v>
      </c>
      <c r="H102" s="17">
        <f>-SUMIF('1.3 FY2013'!$B:$B,'2.1 Database'!B102,'1.3 FY2013'!$F:$F)</f>
        <v>30913.425999999996</v>
      </c>
      <c r="J102" s="35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7">
        <f>-SUMIF('1.1 FY2011'!$B:$B,'2.1 Database'!B103,'1.1 FY2011'!$F:$F)</f>
        <v>0</v>
      </c>
      <c r="G103" s="17">
        <f>-SUMIF('1.2 FY2012'!$B:$B,'2.1 Database'!B103,'1.2 FY2012'!$F:$F)</f>
        <v>0</v>
      </c>
      <c r="H103" s="17">
        <f>-SUMIF('1.3 FY2013'!$B:$B,'2.1 Database'!B103,'1.3 FY2013'!$F:$F)</f>
        <v>1423120</v>
      </c>
      <c r="J103" s="35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7">
        <f>-SUMIF('1.1 FY2011'!$B:$B,'2.1 Database'!B104,'1.1 FY2011'!$F:$F)</f>
        <v>0</v>
      </c>
      <c r="G104" s="17">
        <f>-SUMIF('1.2 FY2012'!$B:$B,'2.1 Database'!B104,'1.2 FY2012'!$F:$F)</f>
        <v>0</v>
      </c>
      <c r="H104" s="17">
        <f>-SUMIF('1.3 FY2013'!$B:$B,'2.1 Database'!B104,'1.3 FY2013'!$F:$F)</f>
        <v>-584.66</v>
      </c>
      <c r="J104" s="35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7">
        <f>-SUMIF('1.1 FY2011'!$B:$B,'2.1 Database'!B105,'1.1 FY2011'!$F:$F)</f>
        <v>0</v>
      </c>
      <c r="G105" s="17">
        <f>-SUMIF('1.2 FY2012'!$B:$B,'2.1 Database'!B105,'1.2 FY2012'!$F:$F)</f>
        <v>0</v>
      </c>
      <c r="H105" s="17">
        <f>-SUMIF('1.3 FY2013'!$B:$B,'2.1 Database'!B105,'1.3 FY2013'!$F:$F)</f>
        <v>-1352.9999999999998</v>
      </c>
      <c r="J105" s="35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7">
        <f>-SUMIF('1.1 FY2011'!$B:$B,'2.1 Database'!B106,'1.1 FY2011'!$F:$F)</f>
        <v>0</v>
      </c>
      <c r="G106" s="17">
        <f>-SUMIF('1.2 FY2012'!$B:$B,'2.1 Database'!B106,'1.2 FY2012'!$F:$F)</f>
        <v>0</v>
      </c>
      <c r="H106" s="17">
        <f>-SUMIF('1.3 FY2013'!$B:$B,'2.1 Database'!B106,'1.3 FY2013'!$F:$F)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7">
        <f>-SUMIF('1.1 FY2011'!$B:$B,'2.1 Database'!B107,'1.1 FY2011'!$F:$F)</f>
        <v>0</v>
      </c>
      <c r="G107" s="17">
        <f>-SUMIF('1.2 FY2012'!$B:$B,'2.1 Database'!B107,'1.2 FY2012'!$F:$F)</f>
        <v>0</v>
      </c>
      <c r="H107" s="17">
        <f>-SUMIF('1.3 FY2013'!$B:$B,'2.1 Database'!B107,'1.3 FY2013'!$F:$F)</f>
        <v>0</v>
      </c>
      <c r="J107" s="35">
        <v>0</v>
      </c>
      <c r="K107" s="2">
        <f>+COUNTIF('2.2 P&amp;L statement'!$B$4:$B$24,'2.1 Database'!J107)</f>
        <v>0</v>
      </c>
    </row>
    <row r="108" spans="2:11" ht="14.4" x14ac:dyDescent="0.3">
      <c r="B108"/>
      <c r="J108" s="24" t="s">
        <v>101</v>
      </c>
      <c r="K108" s="2" t="s">
        <v>101</v>
      </c>
    </row>
    <row r="109" spans="2:11" ht="14.4" x14ac:dyDescent="0.3">
      <c r="B109"/>
    </row>
    <row r="110" spans="2:11" ht="14.4" x14ac:dyDescent="0.3">
      <c r="B110"/>
    </row>
    <row r="111" spans="2:11" ht="14.4" x14ac:dyDescent="0.3">
      <c r="B111"/>
    </row>
    <row r="112" spans="2:11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workbookViewId="0">
      <selection activeCell="J2" sqref="J2"/>
    </sheetView>
  </sheetViews>
  <sheetFormatPr defaultColWidth="9.109375" defaultRowHeight="12" customHeight="1" x14ac:dyDescent="0.2"/>
  <cols>
    <col min="1" max="1" width="2" style="2" customWidth="1"/>
    <col min="2" max="2" width="22.88671875" style="2" bestFit="1" customWidth="1"/>
    <col min="3" max="3" width="12.44140625" style="2" bestFit="1" customWidth="1"/>
    <col min="4" max="5" width="9.109375" style="2"/>
    <col min="6" max="6" width="2" style="2" customWidth="1"/>
    <col min="7" max="16384" width="9.109375" style="2"/>
  </cols>
  <sheetData>
    <row r="1" spans="1:10" s="17" customFormat="1" ht="15.6" x14ac:dyDescent="0.3">
      <c r="A1" s="2"/>
      <c r="B1" s="3" t="s">
        <v>95</v>
      </c>
      <c r="C1" s="2"/>
    </row>
    <row r="2" spans="1:10" s="17" customFormat="1" ht="11.4" x14ac:dyDescent="0.2">
      <c r="A2" s="2"/>
      <c r="B2" s="2"/>
      <c r="C2" s="2"/>
    </row>
    <row r="3" spans="1:10" s="17" customFormat="1" ht="24.6" thickBot="1" x14ac:dyDescent="0.3">
      <c r="A3" s="2"/>
      <c r="B3" s="30" t="s">
        <v>236</v>
      </c>
      <c r="C3" s="16" t="s">
        <v>207</v>
      </c>
      <c r="D3" s="34" t="s">
        <v>208</v>
      </c>
      <c r="E3" s="34" t="s">
        <v>209</v>
      </c>
      <c r="G3" s="44" t="s">
        <v>238</v>
      </c>
      <c r="H3" s="44" t="s">
        <v>239</v>
      </c>
      <c r="J3" s="43"/>
    </row>
    <row r="4" spans="1:10" s="17" customFormat="1" ht="12" customHeight="1" x14ac:dyDescent="0.2">
      <c r="A4" s="2"/>
      <c r="B4" s="29" t="s">
        <v>217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66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219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5">
      <c r="A7" s="2"/>
      <c r="B7" s="31" t="s">
        <v>229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228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5">
      <c r="A9" s="2"/>
      <c r="B9" s="31" t="s">
        <v>230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231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218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220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221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222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74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67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5">
      <c r="A17" s="2"/>
      <c r="B17" s="32" t="s">
        <v>232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72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5">
      <c r="A19" s="2"/>
      <c r="B19" s="31" t="s">
        <v>233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223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224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5">
      <c r="A22" s="2"/>
      <c r="B22" s="31" t="s">
        <v>234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225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3">
      <c r="A24" s="2"/>
      <c r="B24" s="33" t="s">
        <v>235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240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241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242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x14ac:dyDescent="0.2">
      <c r="B32" s="19" t="s">
        <v>237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2021-10-16T23:24:22Z</dcterms:modified>
</cp:coreProperties>
</file>